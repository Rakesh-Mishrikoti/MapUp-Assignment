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raki_singh\Downloads\"/>
    </mc:Choice>
  </mc:AlternateContent>
  <bookViews>
    <workbookView xWindow="0" yWindow="0" windowWidth="20490" windowHeight="762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data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5" i="15" l="1"/>
  <c r="H41" i="15"/>
  <c r="H41" i="1"/>
  <c r="F28" i="18"/>
  <c r="C29" i="18"/>
  <c r="D29" i="18"/>
  <c r="E29" i="18"/>
  <c r="F29" i="18"/>
  <c r="C28" i="18"/>
  <c r="D28" i="18"/>
  <c r="E28" i="18"/>
  <c r="D30" i="18"/>
  <c r="E30" i="18"/>
  <c r="F30" i="18"/>
  <c r="C30" i="18"/>
  <c r="B29" i="18"/>
  <c r="B30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 l="1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<sst xmlns="http://schemas.openxmlformats.org/spreadsheetml/2006/main" count="407" uniqueCount="184">
  <si>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</si>
  <si>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</si>
  <si>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</si>
  <si>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</si>
  <si>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</si>
  <si>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</si>
  <si>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</si>
  <si>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</si>
  <si>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</si>
  <si>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</si>
  <si>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</si>
  <si>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</si>
  <si>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</si>
  <si>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</si>
  <si>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</si>
  <si>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</si>
  <si>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</si>
  <si>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</si>
  <si>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</si>
  <si>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</si>
  <si>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</si>
  <si>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</si>
  <si>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</si>
  <si>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</si>
  <si>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</si>
  <si>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</si>
  <si>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</si>
  <si>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</si>
  <si>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</si>
  <si>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</si>
  <si>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</si>
  <si>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</si>
  <si>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</si>
  <si>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</si>
  <si>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</si>
  <si>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</si>
  <si>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</si>
  <si>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</si>
  <si>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</si>
  <si>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</si>
  <si>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</si>
  <si>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</si>
  <si>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</si>
  <si>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</si>
  <si>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</si>
  <si>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</si>
  <si>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</si>
  <si>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</si>
  <si>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</si>
  <si>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</si>
  <si>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</si>
  <si>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</si>
  <si>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</si>
  <si>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</si>
  <si>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</si>
  <si>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</si>
  <si>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</si>
  <si>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</si>
  <si>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</si>
  <si>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</si>
  <si>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</si>
  <si>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</si>
  <si>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</si>
  <si>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</si>
  <si>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</si>
  <si>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</si>
  <si>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</si>
  <si>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</si>
  <si>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</si>
  <si>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</si>
  <si>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</si>
  <si>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</si>
  <si>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</si>
  <si>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</si>
  <si>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</si>
  <si>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</si>
  <si>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</si>
  <si>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</si>
  <si>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</si>
  <si>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</si>
  <si>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</si>
  <si>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</si>
  <si>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</si>
  <si>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</si>
  <si>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</si>
  <si>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</si>
  <si>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</si>
  <si>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</si>
  <si>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</si>
  <si>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</si>
  <si>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</si>
  <si>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</si>
  <si>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</si>
  <si>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</si>
  <si>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</si>
  <si>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</si>
  <si>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</si>
  <si>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</si>
  <si>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</si>
  <si>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</si>
  <si>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</si>
  <si>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</si>
  <si>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</si>
  <si>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</si>
  <si>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</si>
  <si>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</si>
  <si>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</si>
  <si>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</si>
  <si>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</si>
  <si>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</si>
  <si>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</si>
  <si>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</si>
  <si>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</si>
  <si>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</si>
  <si>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</si>
  <si>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</si>
  <si>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</si>
  <si>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</si>
  <si>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</si>
  <si>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</si>
  <si>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</si>
  <si>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</si>
  <si>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</si>
  <si>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</si>
  <si>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</si>
  <si>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</si>
  <si>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</si>
  <si>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</si>
  <si>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</si>
  <si>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</si>
  <si>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</si>
  <si>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</si>
  <si>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</si>
  <si>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</si>
  <si>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</si>
  <si>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</si>
  <si>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</si>
  <si>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</si>
  <si>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</si>
  <si>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</si>
  <si>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</si>
  <si>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</si>
  <si>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</si>
  <si>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</si>
  <si>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</si>
  <si>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</si>
  <si>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</si>
  <si>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</si>
  <si>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</si>
  <si>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</si>
  <si>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</si>
  <si>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</si>
  <si>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</si>
  <si>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</si>
  <si>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</si>
  <si>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</si>
  <si>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</si>
  <si>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</si>
  <si>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</si>
  <si>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</si>
  <si>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</si>
  <si>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</si>
  <si>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</si>
  <si>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</si>
  <si>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</si>
  <si>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</si>
  <si>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</si>
  <si>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</si>
  <si>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</si>
  <si>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</si>
  <si>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</si>
  <si>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</si>
  <si>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</si>
  <si>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</si>
  <si>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</si>
  <si>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</si>
  <si>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</si>
  <si>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= 1473</t>
  </si>
  <si>
    <t>Text to Columns is a ribbon that helps to seperate the values using delimiters by using semicolon delimiter we have seperated the data.</t>
  </si>
  <si>
    <t>In find and replace go to replace menu and type "#N/A" in Find what and type "20" in Replace with</t>
  </si>
  <si>
    <t>Find and Replace (Ctrl+H )</t>
  </si>
  <si>
    <t>Text to Columns (Alt+A+E)</t>
  </si>
  <si>
    <t>VLOOKUP and MATCH</t>
  </si>
  <si>
    <t>we have used VLOOKUP and MATCH functions to fetch the data by considering name_1 as row and name_2 as column and the intersection of both in table Table_A. Firstly we look name from Table_C in Table_B to find corresponding ID and then we use ID to find corresponding values in Table_A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</si>
</sst>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8" fillId="0" borderId="0" xfId="0" applyNumberFormat="1" applyFont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rgb="FF00B050"/>
      </font>
      <numFmt numFmtId="1" formatCode="0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A2" sqref="A2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5" t="s">
        <v>170</v>
      </c>
      <c r="B9" s="26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2" activePane="bottomLeft" state="frozen"/>
      <selection pane="bottomLeft" activeCell="Y2" sqref="Y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:XFD1">
    <cfRule type="cellIs" dxfId="2" priority="3" operator="equal">
      <formula>-1</formula>
    </cfRule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D6" sqref="D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2.33203125" style="1" bestFit="1" customWidth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>
        <f>SUMIF(H2:H40,"&gt;20")</f>
        <v>0</v>
      </c>
      <c r="D5" s="1" t="s">
        <v>177</v>
      </c>
      <c r="E5" s="1">
        <v>10</v>
      </c>
    </row>
    <row r="6" spans="1:5" x14ac:dyDescent="0.25">
      <c r="A6" s="6">
        <v>4</v>
      </c>
      <c r="B6" s="44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  <row r="41" spans="8:8" x14ac:dyDescent="0.25">
      <c r="H41" s="1" t="b">
        <f>Task_1!C5=SUMIF(H2:H40,"&gt;20")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G30" sqref="G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163</v>
      </c>
    </row>
    <row r="2" spans="1:7" s="40" customFormat="1" ht="21" x14ac:dyDescent="0.35">
      <c r="B2" s="40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 t="shared" ref="B6:B27" si="0">VLOOKUP(A6,data,7,FALSE)</f>
        <v>2.7</v>
      </c>
      <c r="C6" s="12">
        <f t="shared" ref="C6:C27" si="1">VLOOKUP(A6,data,14,FALSE)</f>
        <v>7.6</v>
      </c>
      <c r="D6" s="12">
        <f t="shared" ref="D6:D27" si="2">VLOOKUP(A6,data,18,FALSE)</f>
        <v>4.2</v>
      </c>
      <c r="E6" s="12">
        <f t="shared" ref="E6:E27" si="3">VLOOKUP(A6,data,20,FALSE)</f>
        <v>8.9</v>
      </c>
      <c r="F6" s="8">
        <f t="shared" ref="F6:F27" si="4">VLOOKUP(A6,data,22,FALSE)</f>
        <v>4.2</v>
      </c>
    </row>
    <row r="7" spans="1:7" ht="15" x14ac:dyDescent="0.25">
      <c r="A7" s="7" t="s">
        <v>4</v>
      </c>
      <c r="B7" s="12">
        <f t="shared" si="0"/>
        <v>2.7</v>
      </c>
      <c r="C7" s="12">
        <f t="shared" si="1"/>
        <v>7.6</v>
      </c>
      <c r="D7" s="12">
        <f t="shared" si="2"/>
        <v>4.2</v>
      </c>
      <c r="E7" s="12">
        <f t="shared" si="3"/>
        <v>8.9</v>
      </c>
      <c r="F7" s="8">
        <f t="shared" si="4"/>
        <v>4.2</v>
      </c>
    </row>
    <row r="8" spans="1:7" ht="15" x14ac:dyDescent="0.25">
      <c r="A8" s="7" t="s">
        <v>7</v>
      </c>
      <c r="B8" s="12">
        <f t="shared" si="0"/>
        <v>3.6</v>
      </c>
      <c r="C8" s="12">
        <f t="shared" si="1"/>
        <v>11.1</v>
      </c>
      <c r="D8" s="12">
        <f t="shared" si="2"/>
        <v>5.8</v>
      </c>
      <c r="E8" s="12">
        <f t="shared" si="3"/>
        <v>12.2</v>
      </c>
      <c r="F8" s="8">
        <f t="shared" si="4"/>
        <v>5.8</v>
      </c>
    </row>
    <row r="9" spans="1:7" ht="15" x14ac:dyDescent="0.25">
      <c r="A9" s="7" t="s">
        <v>8</v>
      </c>
      <c r="B9" s="12">
        <f t="shared" si="0"/>
        <v>4.9000000000000004</v>
      </c>
      <c r="C9" s="12">
        <f t="shared" si="1"/>
        <v>13.3</v>
      </c>
      <c r="D9" s="12">
        <f t="shared" si="2"/>
        <v>8.1</v>
      </c>
      <c r="E9" s="12">
        <f t="shared" si="3"/>
        <v>17</v>
      </c>
      <c r="F9" s="8">
        <f t="shared" si="4"/>
        <v>8.1</v>
      </c>
    </row>
    <row r="10" spans="1:7" ht="15" x14ac:dyDescent="0.25">
      <c r="A10" s="7" t="s">
        <v>11</v>
      </c>
      <c r="B10" s="12">
        <f t="shared" si="0"/>
        <v>9.4</v>
      </c>
      <c r="C10" s="12">
        <f t="shared" si="1"/>
        <v>28.3</v>
      </c>
      <c r="D10" s="12">
        <f t="shared" si="2"/>
        <v>16.100000000000001</v>
      </c>
      <c r="E10" s="12">
        <f t="shared" si="3"/>
        <v>32.799999999999997</v>
      </c>
      <c r="F10" s="8">
        <f t="shared" si="4"/>
        <v>16.100000000000001</v>
      </c>
    </row>
    <row r="11" spans="1:7" ht="15" x14ac:dyDescent="0.25">
      <c r="A11" s="7" t="s">
        <v>12</v>
      </c>
      <c r="B11" s="12">
        <f t="shared" si="0"/>
        <v>11.6</v>
      </c>
      <c r="C11" s="12">
        <f t="shared" si="1"/>
        <v>35.200000000000003</v>
      </c>
      <c r="D11" s="12">
        <f t="shared" si="2"/>
        <v>21.3</v>
      </c>
      <c r="E11" s="12">
        <f t="shared" si="3"/>
        <v>43</v>
      </c>
      <c r="F11" s="8">
        <f t="shared" si="4"/>
        <v>21.3</v>
      </c>
    </row>
    <row r="12" spans="1:7" ht="15" x14ac:dyDescent="0.25">
      <c r="A12" s="7" t="s">
        <v>14</v>
      </c>
      <c r="B12" s="12">
        <f t="shared" si="0"/>
        <v>18.399999999999999</v>
      </c>
      <c r="C12" s="12">
        <f t="shared" si="1"/>
        <v>55.6</v>
      </c>
      <c r="D12" s="12">
        <f t="shared" si="2"/>
        <v>33.799999999999997</v>
      </c>
      <c r="E12" s="12">
        <f t="shared" si="3"/>
        <v>67.900000000000006</v>
      </c>
      <c r="F12" s="8">
        <f t="shared" si="4"/>
        <v>33.799999999999997</v>
      </c>
    </row>
    <row r="13" spans="1:7" ht="15" x14ac:dyDescent="0.25">
      <c r="A13" s="7" t="s">
        <v>15</v>
      </c>
      <c r="B13" s="12">
        <f t="shared" si="0"/>
        <v>0</v>
      </c>
      <c r="C13" s="12">
        <f t="shared" si="1"/>
        <v>0</v>
      </c>
      <c r="D13" s="12">
        <f t="shared" si="2"/>
        <v>0</v>
      </c>
      <c r="E13" s="12">
        <f t="shared" si="3"/>
        <v>0</v>
      </c>
      <c r="F13" s="8">
        <f t="shared" si="4"/>
        <v>0</v>
      </c>
    </row>
    <row r="14" spans="1:7" ht="15" x14ac:dyDescent="0.25">
      <c r="A14" s="7" t="s">
        <v>16</v>
      </c>
      <c r="B14" s="12">
        <f t="shared" si="0"/>
        <v>21.9</v>
      </c>
      <c r="C14" s="12">
        <f t="shared" si="1"/>
        <v>61.5</v>
      </c>
      <c r="D14" s="12">
        <f t="shared" si="2"/>
        <v>40.1</v>
      </c>
      <c r="E14" s="12">
        <f t="shared" si="3"/>
        <v>76.599999999999994</v>
      </c>
      <c r="F14" s="8">
        <f t="shared" si="4"/>
        <v>40.1</v>
      </c>
    </row>
    <row r="15" spans="1:7" ht="15" x14ac:dyDescent="0.25">
      <c r="A15" s="7" t="s">
        <v>18</v>
      </c>
      <c r="B15" s="12">
        <f t="shared" si="0"/>
        <v>26.8</v>
      </c>
      <c r="C15" s="12">
        <f t="shared" si="1"/>
        <v>79.599999999999994</v>
      </c>
      <c r="D15" s="12">
        <f t="shared" si="2"/>
        <v>47.9</v>
      </c>
      <c r="E15" s="12">
        <f t="shared" si="3"/>
        <v>96.8</v>
      </c>
      <c r="F15" s="8">
        <f t="shared" si="4"/>
        <v>47.9</v>
      </c>
    </row>
    <row r="16" spans="1:7" ht="15" x14ac:dyDescent="0.25">
      <c r="A16" s="7" t="s">
        <v>20</v>
      </c>
      <c r="B16" s="12">
        <f t="shared" si="0"/>
        <v>28.5</v>
      </c>
      <c r="C16" s="12">
        <f t="shared" si="1"/>
        <v>85.4</v>
      </c>
      <c r="D16" s="12">
        <f t="shared" si="2"/>
        <v>52.3</v>
      </c>
      <c r="E16" s="12">
        <f t="shared" si="3"/>
        <v>106.1</v>
      </c>
      <c r="F16" s="8">
        <f t="shared" si="4"/>
        <v>52.3</v>
      </c>
    </row>
    <row r="17" spans="1:6" ht="15" x14ac:dyDescent="0.25">
      <c r="A17" s="7" t="s">
        <v>22</v>
      </c>
      <c r="B17" s="12">
        <f t="shared" si="0"/>
        <v>30.7</v>
      </c>
      <c r="C17" s="12">
        <f t="shared" si="1"/>
        <v>92.1</v>
      </c>
      <c r="D17" s="12">
        <f t="shared" si="2"/>
        <v>57</v>
      </c>
      <c r="E17" s="12">
        <f t="shared" si="3"/>
        <v>115.1</v>
      </c>
      <c r="F17" s="8">
        <f t="shared" si="4"/>
        <v>57</v>
      </c>
    </row>
    <row r="18" spans="1:6" ht="15" x14ac:dyDescent="0.25">
      <c r="A18" s="7" t="s">
        <v>23</v>
      </c>
      <c r="B18" s="12">
        <f t="shared" si="0"/>
        <v>33.799999999999997</v>
      </c>
      <c r="C18" s="12">
        <f t="shared" si="1"/>
        <v>101.3</v>
      </c>
      <c r="D18" s="12">
        <f t="shared" si="2"/>
        <v>61.4</v>
      </c>
      <c r="E18" s="12">
        <f t="shared" si="3"/>
        <v>124.4</v>
      </c>
      <c r="F18" s="8">
        <f t="shared" si="4"/>
        <v>61.4</v>
      </c>
    </row>
    <row r="19" spans="1:6" ht="15" x14ac:dyDescent="0.25">
      <c r="A19" s="7" t="s">
        <v>24</v>
      </c>
      <c r="B19" s="12">
        <f t="shared" si="0"/>
        <v>34.700000000000003</v>
      </c>
      <c r="C19" s="12">
        <f t="shared" si="1"/>
        <v>106.1</v>
      </c>
      <c r="D19" s="12">
        <f t="shared" si="2"/>
        <v>63.6</v>
      </c>
      <c r="E19" s="12">
        <f t="shared" si="3"/>
        <v>128.6</v>
      </c>
      <c r="F19" s="8">
        <f t="shared" si="4"/>
        <v>63.6</v>
      </c>
    </row>
    <row r="20" spans="1:6" ht="15" x14ac:dyDescent="0.25">
      <c r="A20" s="7" t="s">
        <v>28</v>
      </c>
      <c r="B20" s="12">
        <f t="shared" si="0"/>
        <v>0</v>
      </c>
      <c r="C20" s="12">
        <f t="shared" si="1"/>
        <v>0</v>
      </c>
      <c r="D20" s="12">
        <f t="shared" si="2"/>
        <v>0</v>
      </c>
      <c r="E20" s="12">
        <f t="shared" si="3"/>
        <v>0</v>
      </c>
      <c r="F20" s="8">
        <f t="shared" si="4"/>
        <v>0</v>
      </c>
    </row>
    <row r="21" spans="1:6" ht="15" x14ac:dyDescent="0.25">
      <c r="A21" s="7" t="s">
        <v>57</v>
      </c>
      <c r="B21" s="12">
        <f t="shared" si="0"/>
        <v>41.3</v>
      </c>
      <c r="C21" s="12">
        <f t="shared" si="1"/>
        <v>124.4</v>
      </c>
      <c r="D21" s="12">
        <f t="shared" si="2"/>
        <v>75</v>
      </c>
      <c r="E21" s="12">
        <f t="shared" si="3"/>
        <v>151.5</v>
      </c>
      <c r="F21" s="8">
        <f t="shared" si="4"/>
        <v>75</v>
      </c>
    </row>
    <row r="22" spans="1:6" ht="15" x14ac:dyDescent="0.25">
      <c r="A22" s="7" t="s">
        <v>58</v>
      </c>
      <c r="B22" s="12">
        <f t="shared" si="0"/>
        <v>-1</v>
      </c>
      <c r="C22" s="12">
        <f t="shared" si="1"/>
        <v>-1</v>
      </c>
      <c r="D22" s="12">
        <f t="shared" si="2"/>
        <v>-1</v>
      </c>
      <c r="E22" s="12">
        <f t="shared" si="3"/>
        <v>-1</v>
      </c>
      <c r="F22" s="8">
        <f t="shared" si="4"/>
        <v>-1</v>
      </c>
    </row>
    <row r="23" spans="1:6" ht="15" x14ac:dyDescent="0.25">
      <c r="A23" s="7" t="s">
        <v>31</v>
      </c>
      <c r="B23" s="12">
        <f t="shared" si="0"/>
        <v>45</v>
      </c>
      <c r="C23" s="12">
        <f t="shared" si="1"/>
        <v>133.4</v>
      </c>
      <c r="D23" s="12">
        <f t="shared" si="2"/>
        <v>79.400000000000006</v>
      </c>
      <c r="E23" s="12">
        <f t="shared" si="3"/>
        <v>160.9</v>
      </c>
      <c r="F23" s="8">
        <f t="shared" si="4"/>
        <v>79.400000000000006</v>
      </c>
    </row>
    <row r="24" spans="1:6" ht="15" x14ac:dyDescent="0.25">
      <c r="A24" s="7" t="s">
        <v>32</v>
      </c>
      <c r="B24" s="12">
        <f t="shared" si="0"/>
        <v>-1</v>
      </c>
      <c r="C24" s="12">
        <f t="shared" si="1"/>
        <v>-1</v>
      </c>
      <c r="D24" s="12">
        <f t="shared" si="2"/>
        <v>-1</v>
      </c>
      <c r="E24" s="12">
        <f t="shared" si="3"/>
        <v>-1</v>
      </c>
      <c r="F24" s="8">
        <f t="shared" si="4"/>
        <v>-1</v>
      </c>
    </row>
    <row r="25" spans="1:6" ht="15" x14ac:dyDescent="0.25">
      <c r="A25" s="7" t="s">
        <v>34</v>
      </c>
      <c r="B25" s="12">
        <f t="shared" si="0"/>
        <v>43.3</v>
      </c>
      <c r="C25" s="12">
        <f t="shared" si="1"/>
        <v>128.6</v>
      </c>
      <c r="D25" s="12">
        <f t="shared" si="2"/>
        <v>79.400000000000006</v>
      </c>
      <c r="E25" s="12">
        <f t="shared" si="3"/>
        <v>160.9</v>
      </c>
      <c r="F25" s="8">
        <f t="shared" si="4"/>
        <v>79.400000000000006</v>
      </c>
    </row>
    <row r="26" spans="1:6" ht="15" x14ac:dyDescent="0.25">
      <c r="A26" s="7" t="s">
        <v>37</v>
      </c>
      <c r="B26" s="12">
        <f t="shared" si="0"/>
        <v>49.1</v>
      </c>
      <c r="C26" s="12">
        <f t="shared" si="1"/>
        <v>146.80000000000001</v>
      </c>
      <c r="D26" s="12">
        <f t="shared" si="2"/>
        <v>90.9</v>
      </c>
      <c r="E26" s="12">
        <f t="shared" si="3"/>
        <v>183.5</v>
      </c>
      <c r="F26" s="8">
        <f t="shared" si="4"/>
        <v>90.9</v>
      </c>
    </row>
    <row r="27" spans="1:6" ht="15" x14ac:dyDescent="0.25">
      <c r="A27" s="7" t="s">
        <v>39</v>
      </c>
      <c r="B27" s="12">
        <f t="shared" si="0"/>
        <v>51.8</v>
      </c>
      <c r="C27" s="12">
        <f t="shared" si="1"/>
        <v>156.4</v>
      </c>
      <c r="D27" s="12">
        <f t="shared" si="2"/>
        <v>93.1</v>
      </c>
      <c r="E27" s="12">
        <f t="shared" si="3"/>
        <v>188.1</v>
      </c>
      <c r="F27" s="8">
        <f t="shared" si="4"/>
        <v>93.1</v>
      </c>
    </row>
    <row r="28" spans="1:6" ht="15" x14ac:dyDescent="0.25">
      <c r="A28" s="19" t="s">
        <v>82</v>
      </c>
      <c r="B28" s="12">
        <f>MIN(B6:B27)</f>
        <v>-1</v>
      </c>
      <c r="C28" s="12">
        <f t="shared" ref="C28:E28" si="5">MIN(C6:C27)</f>
        <v>-1</v>
      </c>
      <c r="D28" s="12">
        <f t="shared" si="5"/>
        <v>-1</v>
      </c>
      <c r="E28" s="12">
        <f t="shared" si="5"/>
        <v>-1</v>
      </c>
      <c r="F28" s="12">
        <f>MIN(F6:F27)</f>
        <v>-1</v>
      </c>
    </row>
    <row r="29" spans="1:6" ht="15" x14ac:dyDescent="0.25">
      <c r="A29" s="19" t="s">
        <v>83</v>
      </c>
      <c r="B29" s="12">
        <f>MAX(B6:B27)</f>
        <v>51.8</v>
      </c>
      <c r="C29" s="12">
        <f t="shared" ref="C29:F29" si="6">MAX(C6:C27)</f>
        <v>156.4</v>
      </c>
      <c r="D29" s="12">
        <f t="shared" si="6"/>
        <v>93.1</v>
      </c>
      <c r="E29" s="12">
        <f t="shared" si="6"/>
        <v>188.1</v>
      </c>
      <c r="F29" s="12">
        <f t="shared" si="6"/>
        <v>93.1</v>
      </c>
    </row>
    <row r="30" spans="1:6" ht="15" x14ac:dyDescent="0.25">
      <c r="A30" s="19" t="s">
        <v>84</v>
      </c>
      <c r="B30" s="12">
        <f>AVERAGE(B6:B27)</f>
        <v>20.827272727272728</v>
      </c>
      <c r="C30" s="12">
        <f>AVERAGE(C6:C27)</f>
        <v>62.377272727272725</v>
      </c>
      <c r="D30" s="12">
        <f t="shared" ref="D30:F30" si="7">AVERAGE(D6:D27)</f>
        <v>37.800000000000004</v>
      </c>
      <c r="E30" s="12">
        <f t="shared" si="7"/>
        <v>76.418181818181822</v>
      </c>
      <c r="F30" s="12">
        <f t="shared" si="7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2" t="s">
        <v>53</v>
      </c>
      <c r="B5" s="39" t="s">
        <v>181</v>
      </c>
    </row>
    <row r="6" spans="1:10" ht="18.75" x14ac:dyDescent="0.3">
      <c r="A6" s="42" t="s">
        <v>152</v>
      </c>
      <c r="B6" s="39" t="s">
        <v>178</v>
      </c>
    </row>
    <row r="7" spans="1:10" ht="18.75" x14ac:dyDescent="0.3">
      <c r="A7" s="42"/>
      <c r="B7" s="39"/>
    </row>
    <row r="9" spans="1:10" ht="23.25" x14ac:dyDescent="0.35">
      <c r="A9" s="18" t="s">
        <v>164</v>
      </c>
      <c r="I9" s="2"/>
      <c r="J9" s="2"/>
    </row>
    <row r="10" spans="1:10" x14ac:dyDescent="0.2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166</v>
      </c>
    </row>
    <row r="2" spans="1:3" ht="18.75" x14ac:dyDescent="0.3">
      <c r="B2" s="39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152</v>
      </c>
      <c r="B7" s="1" t="s">
        <v>179</v>
      </c>
    </row>
    <row r="10" spans="1:3" ht="23.25" x14ac:dyDescent="0.35">
      <c r="A10" s="18" t="s">
        <v>161</v>
      </c>
    </row>
    <row r="11" spans="1:3" ht="15" x14ac:dyDescent="0.25">
      <c r="A11" s="31" t="s">
        <v>86</v>
      </c>
      <c r="B11" s="17" t="s">
        <v>87</v>
      </c>
      <c r="C11" s="17" t="s">
        <v>88</v>
      </c>
    </row>
    <row r="12" spans="1:3" ht="15" x14ac:dyDescent="0.25">
      <c r="A12" s="31">
        <v>44927</v>
      </c>
      <c r="B12" s="17" t="s">
        <v>59</v>
      </c>
      <c r="C12" s="17">
        <v>200</v>
      </c>
    </row>
    <row r="13" spans="1:3" ht="15" x14ac:dyDescent="0.25">
      <c r="A13" s="31">
        <v>44928</v>
      </c>
      <c r="B13" s="17" t="s">
        <v>60</v>
      </c>
      <c r="C13" s="17">
        <v>20</v>
      </c>
    </row>
    <row r="14" spans="1:3" ht="15" x14ac:dyDescent="0.25">
      <c r="A14" s="31">
        <v>44929</v>
      </c>
      <c r="B14" s="17" t="s">
        <v>61</v>
      </c>
      <c r="C14" s="17">
        <v>50</v>
      </c>
    </row>
    <row r="15" spans="1:3" ht="15" x14ac:dyDescent="0.25">
      <c r="A15" s="31">
        <v>44930</v>
      </c>
      <c r="B15" s="17" t="s">
        <v>62</v>
      </c>
      <c r="C15" s="17">
        <v>20</v>
      </c>
    </row>
    <row r="16" spans="1:3" ht="15" x14ac:dyDescent="0.25">
      <c r="A16" s="31">
        <v>44931</v>
      </c>
      <c r="B16" s="17" t="s">
        <v>63</v>
      </c>
      <c r="C16" s="17">
        <v>10</v>
      </c>
    </row>
    <row r="17" spans="1:3" ht="15" x14ac:dyDescent="0.25">
      <c r="A17" s="31">
        <v>44932</v>
      </c>
      <c r="B17" s="17" t="s">
        <v>153</v>
      </c>
      <c r="C17" s="17">
        <v>150</v>
      </c>
    </row>
    <row r="18" spans="1:3" ht="15" x14ac:dyDescent="0.25">
      <c r="A18" s="31">
        <v>44933</v>
      </c>
      <c r="B18" s="17" t="s">
        <v>154</v>
      </c>
      <c r="C18" s="17">
        <v>80</v>
      </c>
    </row>
    <row r="19" spans="1:3" ht="15" x14ac:dyDescent="0.25">
      <c r="A19" s="31">
        <v>44934</v>
      </c>
      <c r="B19" s="17" t="s">
        <v>155</v>
      </c>
      <c r="C19" s="17">
        <v>20</v>
      </c>
    </row>
    <row r="20" spans="1:3" ht="15" x14ac:dyDescent="0.25">
      <c r="A20" s="31">
        <v>44935</v>
      </c>
      <c r="B20" s="17" t="s">
        <v>156</v>
      </c>
      <c r="C20" s="17">
        <v>30</v>
      </c>
    </row>
    <row r="21" spans="1:3" ht="15" x14ac:dyDescent="0.25">
      <c r="A21" s="31">
        <v>44936</v>
      </c>
      <c r="B21" s="17" t="s">
        <v>157</v>
      </c>
      <c r="C21" s="17">
        <v>20</v>
      </c>
    </row>
    <row r="22" spans="1:3" ht="15" x14ac:dyDescent="0.25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19" zoomScaleNormal="100" workbookViewId="0">
      <selection activeCell="I33" sqref="I3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174</v>
      </c>
    </row>
    <row r="3" spans="1:14" ht="15" x14ac:dyDescent="0.25">
      <c r="B3" s="1" t="s">
        <v>150</v>
      </c>
    </row>
    <row r="4" spans="1:14" ht="18.75" x14ac:dyDescent="0.3">
      <c r="A4" s="42" t="s">
        <v>53</v>
      </c>
      <c r="B4" s="1"/>
      <c r="C4" s="2" t="s">
        <v>182</v>
      </c>
    </row>
    <row r="5" spans="1:14" ht="18.75" x14ac:dyDescent="0.3">
      <c r="A5" s="42" t="s">
        <v>152</v>
      </c>
      <c r="B5" s="1" t="s">
        <v>183</v>
      </c>
    </row>
    <row r="6" spans="1:14" ht="15" x14ac:dyDescent="0.25">
      <c r="A6" s="3"/>
      <c r="B6" s="1"/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3">
        <f>VLOOKUP(VLOOKUP($A23,$M$10:$N$18,2),$A$10:$J$18,MATCH(VLOOKUP($B23,$M$10:$N$18,2),$A$9:$J$9,0))</f>
        <v>95</v>
      </c>
    </row>
    <row r="24" spans="1:14" ht="15" x14ac:dyDescent="0.25">
      <c r="A24" s="7">
        <v>10100</v>
      </c>
      <c r="B24" s="12">
        <v>10104</v>
      </c>
      <c r="C24" s="43">
        <f t="shared" ref="C24:C35" si="0">VLOOKUP(VLOOKUP($A24,$M$10:$N$18,2),$A$10:$J$18,MATCH(VLOOKUP($B24,$M$10:$N$18,2),$A$9:$J$9,0))</f>
        <v>-1</v>
      </c>
    </row>
    <row r="25" spans="1:14" ht="15" x14ac:dyDescent="0.25">
      <c r="A25" s="7">
        <v>10108</v>
      </c>
      <c r="B25" s="12">
        <v>10102</v>
      </c>
      <c r="C25" s="43">
        <f t="shared" si="0"/>
        <v>160</v>
      </c>
    </row>
    <row r="26" spans="1:14" ht="15" x14ac:dyDescent="0.25">
      <c r="A26" s="7">
        <v>10100</v>
      </c>
      <c r="B26" s="12">
        <v>10106</v>
      </c>
      <c r="C26" s="43">
        <f t="shared" si="0"/>
        <v>185</v>
      </c>
    </row>
    <row r="27" spans="1:14" ht="15" x14ac:dyDescent="0.25">
      <c r="A27" s="7">
        <v>10108</v>
      </c>
      <c r="B27" s="12">
        <v>10110</v>
      </c>
      <c r="C27" s="43">
        <f t="shared" si="0"/>
        <v>50</v>
      </c>
    </row>
    <row r="28" spans="1:14" ht="15" x14ac:dyDescent="0.25">
      <c r="A28" s="7">
        <v>10102</v>
      </c>
      <c r="B28" s="12">
        <v>10104</v>
      </c>
      <c r="C28" s="43">
        <f t="shared" si="0"/>
        <v>-1</v>
      </c>
    </row>
    <row r="29" spans="1:14" ht="15" x14ac:dyDescent="0.25">
      <c r="A29" s="7">
        <v>10106</v>
      </c>
      <c r="B29" s="12">
        <v>10108</v>
      </c>
      <c r="C29" s="43">
        <f t="shared" si="0"/>
        <v>70</v>
      </c>
    </row>
    <row r="30" spans="1:14" ht="15" x14ac:dyDescent="0.25">
      <c r="A30" s="7">
        <v>10102</v>
      </c>
      <c r="B30" s="12">
        <v>10106</v>
      </c>
      <c r="C30" s="43">
        <f t="shared" si="0"/>
        <v>90</v>
      </c>
    </row>
    <row r="31" spans="1:14" ht="15" x14ac:dyDescent="0.25">
      <c r="A31" s="7">
        <v>10110</v>
      </c>
      <c r="B31" s="12">
        <v>10114</v>
      </c>
      <c r="C31" s="43">
        <f t="shared" si="0"/>
        <v>180</v>
      </c>
    </row>
    <row r="32" spans="1:14" ht="15" x14ac:dyDescent="0.25">
      <c r="A32" s="7">
        <v>10104</v>
      </c>
      <c r="B32" s="12">
        <v>10106</v>
      </c>
      <c r="C32" s="43">
        <f t="shared" si="0"/>
        <v>60</v>
      </c>
    </row>
    <row r="33" spans="1:3" ht="15" x14ac:dyDescent="0.25">
      <c r="A33" s="7">
        <v>10110</v>
      </c>
      <c r="B33" s="12">
        <v>10112</v>
      </c>
      <c r="C33" s="43">
        <f t="shared" si="0"/>
        <v>115</v>
      </c>
    </row>
    <row r="34" spans="1:3" ht="15" x14ac:dyDescent="0.25">
      <c r="A34" s="7">
        <v>10100</v>
      </c>
      <c r="B34" s="12">
        <v>10114</v>
      </c>
      <c r="C34" s="43">
        <f t="shared" si="0"/>
        <v>480</v>
      </c>
    </row>
    <row r="35" spans="1:3" ht="15" x14ac:dyDescent="0.25">
      <c r="A35" s="9">
        <v>10112</v>
      </c>
      <c r="B35" s="13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Rakesh Mishrikoti</cp:lastModifiedBy>
  <dcterms:created xsi:type="dcterms:W3CDTF">2015-02-10T17:33:11Z</dcterms:created>
  <dcterms:modified xsi:type="dcterms:W3CDTF">2024-10-23T16:16:19Z</dcterms:modified>
</cp:coreProperties>
</file>